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iting Papers" sheetId="2" state="visible" r:id="rId4"/>
  </sheets>
  <definedNames>
    <definedName function="false" hidden="true" localSheetId="1" name="_xlnm._FilterDatabase" vbProcedure="false">'Citing Papers'!$A$1:$E$50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<sst xmlns="http://schemas.openxmlformats.org/spreadsheetml/2006/main" count="165" uniqueCount="110">
  <si>
    <t xml:space="preserve">Organization</t>
  </si>
  <si>
    <t xml:space="preserve">Total citing works (OpenAlex)</t>
  </si>
  <si>
    <t xml:space="preserve">Listed in this sheet</t>
  </si>
  <si>
    <t xml:space="preserve">Sum of citations, listed papers</t>
  </si>
  <si>
    <t xml:space="preserve">Most-cited citing paper</t>
  </si>
  <si>
    <t xml:space="preserve">Google</t>
  </si>
  <si>
    <t xml:space="preserve">Google DeepMind</t>
  </si>
  <si>
    <t xml:space="preserve">Meta</t>
  </si>
  <si>
    <t xml:space="preserve">xAI</t>
  </si>
  <si>
    <t xml:space="preserve">Total</t>
  </si>
  <si>
    <t xml:space="preserve">Column B is the full OpenAlex count of works from that org citing the paper; columns C–E are formulas over the 'Citing Papers' tab (top-30-per-org sample). Anthropic: no citing works found (see prior answer).</t>
  </si>
  <si>
    <t xml:space="preserve">Citing paper</t>
  </si>
  <si>
    <t xml:space="preserve">First author</t>
  </si>
  <si>
    <t xml:space="preserve">Year</t>
  </si>
  <si>
    <t xml:space="preserve">Citations of citing paper (OpenAlex)</t>
  </si>
  <si>
    <t xml:space="preserve">MobileNetV2: Inverted Residuals and Linear Bottlenecks</t>
  </si>
  <si>
    <t xml:space="preserve">Mark Sandler</t>
  </si>
  <si>
    <t xml:space="preserve">Xception: Deep Learning with Depthwise Separable Convolutions</t>
  </si>
  <si>
    <t xml:space="preserve">Francois Chollet</t>
  </si>
  <si>
    <t xml:space="preserve">MobileNets: Efficient Convolutional Neural Networks for Mobile Vision Applications</t>
  </si>
  <si>
    <t xml:space="preserve">Andrew Howard</t>
  </si>
  <si>
    <t xml:space="preserve">EfficientNet: Rethinking Model Scaling for Convolutional Neural Networks</t>
  </si>
  <si>
    <t xml:space="preserve">Mingxing Tan</t>
  </si>
  <si>
    <t xml:space="preserve">Searching for MobileNetV3</t>
  </si>
  <si>
    <t xml:space="preserve">Learning Transferable Architectures for Scalable Image Recognition (NASNet)</t>
  </si>
  <si>
    <t xml:space="preserve">Barret Zoph</t>
  </si>
  <si>
    <t xml:space="preserve">MnasNet: Platform-Aware Neural Architecture Search for Mobile</t>
  </si>
  <si>
    <t xml:space="preserve">AutoAugment: Learning Augmentation Strategies From Data</t>
  </si>
  <si>
    <t xml:space="preserve">Ekin D. Cubuk</t>
  </si>
  <si>
    <t xml:space="preserve">Regularized Evolution for Image Classifier Architecture Search (AmoebaNet)</t>
  </si>
  <si>
    <t xml:space="preserve">Esteban Real</t>
  </si>
  <si>
    <t xml:space="preserve">Revisiting Unreasonable Effectiveness of Data in Deep Learning Era</t>
  </si>
  <si>
    <t xml:space="preserve">Chen Sun</t>
  </si>
  <si>
    <t xml:space="preserve">Self-Training With Noisy Student Improves ImageNet Classification</t>
  </si>
  <si>
    <t xml:space="preserve">Qizhe Xie</t>
  </si>
  <si>
    <t xml:space="preserve">Ensemble Adversarial Training: Attacks and Defenses</t>
  </si>
  <si>
    <t xml:space="preserve">Florian Tramèr</t>
  </si>
  <si>
    <t xml:space="preserve">The Open Images Dataset V4</t>
  </si>
  <si>
    <t xml:space="preserve">Alina Kuznetsova</t>
  </si>
  <si>
    <t xml:space="preserve">Conceptual Captions</t>
  </si>
  <si>
    <t xml:space="preserve">Piyush Kumar Sharma</t>
  </si>
  <si>
    <t xml:space="preserve">The iNaturalist Species Classification and Detection Dataset</t>
  </si>
  <si>
    <t xml:space="preserve">Grant Van Horn</t>
  </si>
  <si>
    <t xml:space="preserve">Do Better ImageNet Models Transfer Better?</t>
  </si>
  <si>
    <t xml:space="preserve">Simon Kornblith</t>
  </si>
  <si>
    <t xml:space="preserve">Attention Augmented Convolutional Networks</t>
  </si>
  <si>
    <t xml:space="preserve">Irwan Bello</t>
  </si>
  <si>
    <t xml:space="preserve">Auto-DeepLab: Hierarchical NAS for Semantic Image Segmentation</t>
  </si>
  <si>
    <t xml:space="preserve">Chenxi Liu</t>
  </si>
  <si>
    <t xml:space="preserve">MaxViT: Multi-axis Vision Transformer</t>
  </si>
  <si>
    <t xml:space="preserve">Zhengzhong Tu</t>
  </si>
  <si>
    <t xml:space="preserve">Deep Variational Information Bottleneck</t>
  </si>
  <si>
    <t xml:space="preserve">Alexander A. Alemi</t>
  </si>
  <si>
    <t xml:space="preserve">Towards Accurate Multi-person Pose Estimation in the Wild</t>
  </si>
  <si>
    <t xml:space="preserve">George Papandreou</t>
  </si>
  <si>
    <t xml:space="preserve">A deep learning system for differential diagnosis of skin diseases</t>
  </si>
  <si>
    <t xml:space="preserve">Yuan Liu</t>
  </si>
  <si>
    <t xml:space="preserve">In Silico Labeling: Predicting Fluorescent Labels in Unlabeled Images</t>
  </si>
  <si>
    <t xml:space="preserve">Eric M. Christiansen</t>
  </si>
  <si>
    <t xml:space="preserve">Meta Pseudo Labels</t>
  </si>
  <si>
    <t xml:space="preserve">Hieu Pham</t>
  </si>
  <si>
    <t xml:space="preserve">Deep visual foresight for planning robot motion</t>
  </si>
  <si>
    <t xml:space="preserve">Chelsea Finn</t>
  </si>
  <si>
    <t xml:space="preserve">YouTube-BoundingBoxes</t>
  </si>
  <si>
    <t xml:space="preserve">Grader Variability and the Importance of Reference Standards for Evaluating ML Models</t>
  </si>
  <si>
    <t xml:space="preserve">Jonathan Krause</t>
  </si>
  <si>
    <t xml:space="preserve">Multi-task Self-Supervised Visual Learning</t>
  </si>
  <si>
    <t xml:space="preserve">Carl Doersch</t>
  </si>
  <si>
    <t xml:space="preserve">High-Performance Large-Scale Image Recognition Without Normalization (NFNets)</t>
  </si>
  <si>
    <t xml:space="preserve">Andrew Brock</t>
  </si>
  <si>
    <t xml:space="preserve">DeepContext: Context-Encoding Neural Pathways for 3D Holistic Scene Understanding</t>
  </si>
  <si>
    <t xml:space="preserve">Yinda Zhang</t>
  </si>
  <si>
    <t xml:space="preserve">Characterizing signal propagation to close the performance gap in unnormalized ResNets</t>
  </si>
  <si>
    <t xml:space="preserve">Focal Loss for Dense Object Detection (RetinaNet)</t>
  </si>
  <si>
    <t xml:space="preserve">Tsung-Yi Lin</t>
  </si>
  <si>
    <t xml:space="preserve">Mask R-CNN</t>
  </si>
  <si>
    <t xml:space="preserve">Kaiming He</t>
  </si>
  <si>
    <t xml:space="preserve">Aggregated Residual Transformations for Deep Neural Networks (ResNeXt)</t>
  </si>
  <si>
    <t xml:space="preserve">Saining Xie</t>
  </si>
  <si>
    <t xml:space="preserve">Group Normalization</t>
  </si>
  <si>
    <t xml:space="preserve">Yuxin Wu</t>
  </si>
  <si>
    <t xml:space="preserve">X3D: Expanding Architectures for Efficient Video Recognition</t>
  </si>
  <si>
    <t xml:space="preserve">Christoph Feichtenhofer</t>
  </si>
  <si>
    <t xml:space="preserve">Exploring the Limits of Weakly Supervised Pretraining</t>
  </si>
  <si>
    <t xml:space="preserve">Dhruv Kumar Mahajan</t>
  </si>
  <si>
    <t xml:space="preserve">Countering Adversarial Images using Input Transformations</t>
  </si>
  <si>
    <t xml:space="preserve">Chuan Guo</t>
  </si>
  <si>
    <t xml:space="preserve">Drop an Octave: Octave Convolution</t>
  </si>
  <si>
    <t xml:space="preserve">Yunpeng Chen</t>
  </si>
  <si>
    <t xml:space="preserve">CleanNet: Transfer Learning for Scalable Image Classifier Training with Label Noise</t>
  </si>
  <si>
    <t xml:space="preserve">Kuang-Huei Lee</t>
  </si>
  <si>
    <t xml:space="preserve">Exploring Randomly Wired Neural Networks for Image Recognition</t>
  </si>
  <si>
    <t xml:space="preserve">DeepFake Detection Based on Discrepancies Between Faces and Their Context</t>
  </si>
  <si>
    <t xml:space="preserve">Yuval Nirkin</t>
  </si>
  <si>
    <t xml:space="preserve">Detect-and-Track: Efficient Pose Estimation in Videos</t>
  </si>
  <si>
    <t xml:space="preserve">Rohit Girdhar</t>
  </si>
  <si>
    <t xml:space="preserve">Fixing the train-test resolution discrepancy (FixRes)</t>
  </si>
  <si>
    <t xml:space="preserve">Hugo Touvron</t>
  </si>
  <si>
    <t xml:space="preserve">A Corpus of Natural Language for Visual Reasoning</t>
  </si>
  <si>
    <t xml:space="preserve">Alane Suhr</t>
  </si>
  <si>
    <t xml:space="preserve">SMART Frame Selection for Action Recognition</t>
  </si>
  <si>
    <t xml:space="preserve">Shreyank N Gowda</t>
  </si>
  <si>
    <t xml:space="preserve">Cryptanalytic Extraction of Neural Network Models</t>
  </si>
  <si>
    <t xml:space="preserve">Nicholas Carlini</t>
  </si>
  <si>
    <t xml:space="preserve">DesIGN: Design Inspiration from Generative Networks</t>
  </si>
  <si>
    <t xml:space="preserve">Othman Sbai</t>
  </si>
  <si>
    <t xml:space="preserve">Does Object Recognition Work for Everyone?</t>
  </si>
  <si>
    <t xml:space="preserve">Terrance DeVries</t>
  </si>
  <si>
    <t xml:space="preserve">Source: OpenAlex works API, filter cites:W2964350391|W2274287116 (both records of Szegedy et al., Inception-v4, arXiv 1602.07261) by authorships.institutions.id; sorted by cited_by_count desc; top 30 per org retrieved 2026-10-24. Duplicate records of the same paper (e.g. Focal Loss, Mask R-CNN, Open Images) collapsed to the highest-count record.</t>
  </si>
  <si>
    <t xml:space="preserve">Affiliation tagging is OpenAlex's and is imperfect; some rows are co-affiliations.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</si>
</sst>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7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127</v>
      </c>
      <c r="C2" s="3" t="n">
        <f aca="false">COUNTIF('Citing Papers'!$A$2:$A$50,A2)</f>
        <v>27</v>
      </c>
      <c r="D2" s="3" t="n">
        <f aca="false">SUMIF('Citing Papers'!$A$2:$A$50,A2,'Citing Papers'!$E$2:$E$50)</f>
        <v>132822</v>
      </c>
      <c r="E2" s="2" t="str">
        <f aca="false">IFERROR(INDEX('Citing Papers'!$B$2:$B$50,MATCH(A2,'Citing Papers'!$A$2:$A$50,0)),"—")</f>
        <v>MobileNetV2: Inverted Residuals and Linear Bottlenecks</v>
      </c>
    </row>
    <row r="3" customFormat="false" ht="15" hidden="false" customHeight="false" outlineLevel="0" collapsed="false">
      <c r="A3" s="2" t="s">
        <v>6</v>
      </c>
      <c r="B3" s="3" t="n">
        <v>4</v>
      </c>
      <c r="C3" s="3" t="n">
        <f aca="false">COUNTIF('Citing Papers'!$A$2:$A$50,A3)</f>
        <v>4</v>
      </c>
      <c r="D3" s="3" t="n">
        <f aca="false">SUMIF('Citing Papers'!$A$2:$A$50,A3,'Citing Papers'!$E$2:$E$50)</f>
        <v>1058</v>
      </c>
      <c r="E3" s="2" t="str">
        <f aca="false">IFERROR(INDEX('Citing Papers'!$B$2:$B$50,MATCH(A3,'Citing Papers'!$A$2:$A$50,0)),"—")</f>
        <v>Multi-task Self-Supervised Visual Learning</v>
      </c>
    </row>
    <row r="4" customFormat="false" ht="15" hidden="false" customHeight="false" outlineLevel="0" collapsed="false">
      <c r="A4" s="2" t="s">
        <v>7</v>
      </c>
      <c r="B4" s="3" t="n">
        <v>37</v>
      </c>
      <c r="C4" s="3" t="n">
        <f aca="false">COUNTIF('Citing Papers'!$A$2:$A$50,A4)</f>
        <v>18</v>
      </c>
      <c r="D4" s="3" t="n">
        <f aca="false">SUMIF('Citing Papers'!$A$2:$A$50,A4,'Citing Papers'!$E$2:$E$50)</f>
        <v>81824</v>
      </c>
      <c r="E4" s="2" t="str">
        <f aca="false">IFERROR(INDEX('Citing Papers'!$B$2:$B$50,MATCH(A4,'Citing Papers'!$A$2:$A$50,0)),"—")</f>
        <v>Focal Loss for Dense Object Detection (RetinaNet)</v>
      </c>
    </row>
    <row r="5" customFormat="false" ht="15" hidden="false" customHeight="false" outlineLevel="0" collapsed="false">
      <c r="A5" s="2" t="s">
        <v>8</v>
      </c>
      <c r="B5" s="3" t="n">
        <v>0</v>
      </c>
      <c r="C5" s="3" t="n">
        <f aca="false">COUNTIF('Citing Papers'!$A$2:$A$50,A5)</f>
        <v>0</v>
      </c>
      <c r="D5" s="3" t="n">
        <f aca="false">SUMIF('Citing Papers'!$A$2:$A$50,A5,'Citing Papers'!$E$2:$E$50)</f>
        <v>0</v>
      </c>
      <c r="E5" s="2" t="str">
        <f aca="false">IFERROR(INDEX('Citing Papers'!$B$2:$B$50,MATCH(A5,'Citing Papers'!$A$2:$A$50,0)),"—")</f>
        <v>—</v>
      </c>
    </row>
    <row r="6" customFormat="false" ht="15" hidden="false" customHeight="false" outlineLevel="0" collapsed="false">
      <c r="A6" s="4" t="s">
        <v>9</v>
      </c>
      <c r="B6" s="5" t="n">
        <f aca="false">SUM(B2:B5)</f>
        <v>168</v>
      </c>
      <c r="C6" s="5" t="n">
        <f aca="false">SUM(C2:C5)</f>
        <v>49</v>
      </c>
      <c r="D6" s="5" t="n">
        <f aca="false">SUM(D2:D5)</f>
        <v>215704</v>
      </c>
      <c r="E6" s="4"/>
    </row>
    <row r="8" customFormat="false" ht="15" hidden="false" customHeight="false" outlineLevel="0" collapsed="false">
      <c r="A8" s="6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8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20"/>
  </cols>
  <sheetData>
    <row r="1" customFormat="false" ht="39.55" hidden="false" customHeight="false" outlineLevel="0" collapsed="false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customFormat="false" ht="15" hidden="false" customHeight="false" outlineLevel="0" collapsed="false">
      <c r="A2" s="2" t="s">
        <v>5</v>
      </c>
      <c r="B2" s="2" t="s">
        <v>15</v>
      </c>
      <c r="C2" s="2" t="s">
        <v>16</v>
      </c>
      <c r="D2" s="2" t="n">
        <v>2018</v>
      </c>
      <c r="E2" s="3" t="n">
        <v>28685</v>
      </c>
    </row>
    <row r="3" customFormat="false" ht="15" hidden="false" customHeight="false" outlineLevel="0" collapsed="false">
      <c r="A3" s="2" t="s">
        <v>5</v>
      </c>
      <c r="B3" s="2" t="s">
        <v>17</v>
      </c>
      <c r="C3" s="2" t="s">
        <v>18</v>
      </c>
      <c r="D3" s="2" t="n">
        <v>2017</v>
      </c>
      <c r="E3" s="3" t="n">
        <v>20346</v>
      </c>
    </row>
    <row r="4" customFormat="false" ht="15" hidden="false" customHeight="false" outlineLevel="0" collapsed="false">
      <c r="A4" s="2" t="s">
        <v>5</v>
      </c>
      <c r="B4" s="2" t="s">
        <v>19</v>
      </c>
      <c r="C4" s="2" t="s">
        <v>20</v>
      </c>
      <c r="D4" s="2" t="n">
        <v>2017</v>
      </c>
      <c r="E4" s="3" t="n">
        <v>19008</v>
      </c>
    </row>
    <row r="5" customFormat="false" ht="15" hidden="false" customHeight="false" outlineLevel="0" collapsed="false">
      <c r="A5" s="2" t="s">
        <v>5</v>
      </c>
      <c r="B5" s="2" t="s">
        <v>21</v>
      </c>
      <c r="C5" s="2" t="s">
        <v>22</v>
      </c>
      <c r="D5" s="2" t="n">
        <v>2019</v>
      </c>
      <c r="E5" s="3" t="n">
        <v>16836</v>
      </c>
    </row>
    <row r="6" customFormat="false" ht="15" hidden="false" customHeight="false" outlineLevel="0" collapsed="false">
      <c r="A6" s="2" t="s">
        <v>5</v>
      </c>
      <c r="B6" s="2" t="s">
        <v>23</v>
      </c>
      <c r="C6" s="2" t="s">
        <v>20</v>
      </c>
      <c r="D6" s="2" t="n">
        <v>2019</v>
      </c>
      <c r="E6" s="3" t="n">
        <v>9656</v>
      </c>
    </row>
    <row r="7" customFormat="false" ht="15" hidden="false" customHeight="false" outlineLevel="0" collapsed="false">
      <c r="A7" s="2" t="s">
        <v>5</v>
      </c>
      <c r="B7" s="2" t="s">
        <v>24</v>
      </c>
      <c r="C7" s="2" t="s">
        <v>25</v>
      </c>
      <c r="D7" s="2" t="n">
        <v>2018</v>
      </c>
      <c r="E7" s="3" t="n">
        <v>6574</v>
      </c>
    </row>
    <row r="8" customFormat="false" ht="15" hidden="false" customHeight="false" outlineLevel="0" collapsed="false">
      <c r="A8" s="2" t="s">
        <v>5</v>
      </c>
      <c r="B8" s="2" t="s">
        <v>26</v>
      </c>
      <c r="C8" s="2" t="s">
        <v>22</v>
      </c>
      <c r="D8" s="2" t="n">
        <v>2019</v>
      </c>
      <c r="E8" s="3" t="n">
        <v>3412</v>
      </c>
    </row>
    <row r="9" customFormat="false" ht="15" hidden="false" customHeight="false" outlineLevel="0" collapsed="false">
      <c r="A9" s="2" t="s">
        <v>5</v>
      </c>
      <c r="B9" s="2" t="s">
        <v>27</v>
      </c>
      <c r="C9" s="2" t="s">
        <v>28</v>
      </c>
      <c r="D9" s="2" t="n">
        <v>2019</v>
      </c>
      <c r="E9" s="3" t="n">
        <v>2858</v>
      </c>
    </row>
    <row r="10" customFormat="false" ht="15" hidden="false" customHeight="false" outlineLevel="0" collapsed="false">
      <c r="A10" s="2" t="s">
        <v>5</v>
      </c>
      <c r="B10" s="2" t="s">
        <v>29</v>
      </c>
      <c r="C10" s="2" t="s">
        <v>30</v>
      </c>
      <c r="D10" s="2" t="n">
        <v>2019</v>
      </c>
      <c r="E10" s="3" t="n">
        <v>2650</v>
      </c>
    </row>
    <row r="11" customFormat="false" ht="15" hidden="false" customHeight="false" outlineLevel="0" collapsed="false">
      <c r="A11" s="2" t="s">
        <v>5</v>
      </c>
      <c r="B11" s="2" t="s">
        <v>31</v>
      </c>
      <c r="C11" s="2" t="s">
        <v>32</v>
      </c>
      <c r="D11" s="2" t="n">
        <v>2017</v>
      </c>
      <c r="E11" s="3" t="n">
        <v>2481</v>
      </c>
    </row>
    <row r="12" customFormat="false" ht="15" hidden="false" customHeight="false" outlineLevel="0" collapsed="false">
      <c r="A12" s="2" t="s">
        <v>5</v>
      </c>
      <c r="B12" s="2" t="s">
        <v>33</v>
      </c>
      <c r="C12" s="2" t="s">
        <v>34</v>
      </c>
      <c r="D12" s="2" t="n">
        <v>2020</v>
      </c>
      <c r="E12" s="3" t="n">
        <v>2390</v>
      </c>
    </row>
    <row r="13" customFormat="false" ht="15" hidden="false" customHeight="false" outlineLevel="0" collapsed="false">
      <c r="A13" s="2" t="s">
        <v>5</v>
      </c>
      <c r="B13" s="2" t="s">
        <v>35</v>
      </c>
      <c r="C13" s="2" t="s">
        <v>36</v>
      </c>
      <c r="D13" s="2" t="n">
        <v>2017</v>
      </c>
      <c r="E13" s="3" t="n">
        <v>2177</v>
      </c>
    </row>
    <row r="14" customFormat="false" ht="15" hidden="false" customHeight="false" outlineLevel="0" collapsed="false">
      <c r="A14" s="2" t="s">
        <v>5</v>
      </c>
      <c r="B14" s="2" t="s">
        <v>37</v>
      </c>
      <c r="C14" s="2" t="s">
        <v>38</v>
      </c>
      <c r="D14" s="2" t="n">
        <v>2018</v>
      </c>
      <c r="E14" s="3" t="n">
        <v>1914</v>
      </c>
    </row>
    <row r="15" customFormat="false" ht="15" hidden="false" customHeight="false" outlineLevel="0" collapsed="false">
      <c r="A15" s="2" t="s">
        <v>5</v>
      </c>
      <c r="B15" s="2" t="s">
        <v>39</v>
      </c>
      <c r="C15" s="2" t="s">
        <v>40</v>
      </c>
      <c r="D15" s="2" t="n">
        <v>2018</v>
      </c>
      <c r="E15" s="3" t="n">
        <v>1858</v>
      </c>
    </row>
    <row r="16" customFormat="false" ht="15" hidden="false" customHeight="false" outlineLevel="0" collapsed="false">
      <c r="A16" s="2" t="s">
        <v>5</v>
      </c>
      <c r="B16" s="2" t="s">
        <v>41</v>
      </c>
      <c r="C16" s="2" t="s">
        <v>42</v>
      </c>
      <c r="D16" s="2" t="n">
        <v>2018</v>
      </c>
      <c r="E16" s="3" t="n">
        <v>1448</v>
      </c>
    </row>
    <row r="17" customFormat="false" ht="15" hidden="false" customHeight="false" outlineLevel="0" collapsed="false">
      <c r="A17" s="2" t="s">
        <v>5</v>
      </c>
      <c r="B17" s="2" t="s">
        <v>43</v>
      </c>
      <c r="C17" s="2" t="s">
        <v>44</v>
      </c>
      <c r="D17" s="2" t="n">
        <v>2019</v>
      </c>
      <c r="E17" s="3" t="n">
        <v>1323</v>
      </c>
    </row>
    <row r="18" customFormat="false" ht="15" hidden="false" customHeight="false" outlineLevel="0" collapsed="false">
      <c r="A18" s="2" t="s">
        <v>5</v>
      </c>
      <c r="B18" s="2" t="s">
        <v>45</v>
      </c>
      <c r="C18" s="2" t="s">
        <v>46</v>
      </c>
      <c r="D18" s="2" t="n">
        <v>2019</v>
      </c>
      <c r="E18" s="3" t="n">
        <v>1321</v>
      </c>
    </row>
    <row r="19" customFormat="false" ht="15" hidden="false" customHeight="false" outlineLevel="0" collapsed="false">
      <c r="A19" s="2" t="s">
        <v>5</v>
      </c>
      <c r="B19" s="2" t="s">
        <v>47</v>
      </c>
      <c r="C19" s="2" t="s">
        <v>48</v>
      </c>
      <c r="D19" s="2" t="n">
        <v>2019</v>
      </c>
      <c r="E19" s="3" t="n">
        <v>1073</v>
      </c>
    </row>
    <row r="20" customFormat="false" ht="15" hidden="false" customHeight="false" outlineLevel="0" collapsed="false">
      <c r="A20" s="2" t="s">
        <v>5</v>
      </c>
      <c r="B20" s="2" t="s">
        <v>49</v>
      </c>
      <c r="C20" s="2" t="s">
        <v>50</v>
      </c>
      <c r="D20" s="2" t="n">
        <v>2022</v>
      </c>
      <c r="E20" s="3" t="n">
        <v>1053</v>
      </c>
    </row>
    <row r="21" customFormat="false" ht="15" hidden="false" customHeight="false" outlineLevel="0" collapsed="false">
      <c r="A21" s="2" t="s">
        <v>5</v>
      </c>
      <c r="B21" s="2" t="s">
        <v>51</v>
      </c>
      <c r="C21" s="2" t="s">
        <v>52</v>
      </c>
      <c r="D21" s="2" t="n">
        <v>2016</v>
      </c>
      <c r="E21" s="3" t="n">
        <v>1050</v>
      </c>
    </row>
    <row r="22" customFormat="false" ht="15" hidden="false" customHeight="false" outlineLevel="0" collapsed="false">
      <c r="A22" s="2" t="s">
        <v>5</v>
      </c>
      <c r="B22" s="2" t="s">
        <v>53</v>
      </c>
      <c r="C22" s="2" t="s">
        <v>54</v>
      </c>
      <c r="D22" s="2" t="n">
        <v>2017</v>
      </c>
      <c r="E22" s="3" t="n">
        <v>898</v>
      </c>
    </row>
    <row r="23" customFormat="false" ht="15" hidden="false" customHeight="false" outlineLevel="0" collapsed="false">
      <c r="A23" s="2" t="s">
        <v>5</v>
      </c>
      <c r="B23" s="2" t="s">
        <v>55</v>
      </c>
      <c r="C23" s="2" t="s">
        <v>56</v>
      </c>
      <c r="D23" s="2" t="n">
        <v>2020</v>
      </c>
      <c r="E23" s="3" t="n">
        <v>849</v>
      </c>
    </row>
    <row r="24" customFormat="false" ht="15" hidden="false" customHeight="false" outlineLevel="0" collapsed="false">
      <c r="A24" s="2" t="s">
        <v>5</v>
      </c>
      <c r="B24" s="2" t="s">
        <v>57</v>
      </c>
      <c r="C24" s="2" t="s">
        <v>58</v>
      </c>
      <c r="D24" s="2" t="n">
        <v>2018</v>
      </c>
      <c r="E24" s="3" t="n">
        <v>631</v>
      </c>
    </row>
    <row r="25" customFormat="false" ht="15" hidden="false" customHeight="false" outlineLevel="0" collapsed="false">
      <c r="A25" s="2" t="s">
        <v>5</v>
      </c>
      <c r="B25" s="2" t="s">
        <v>59</v>
      </c>
      <c r="C25" s="2" t="s">
        <v>60</v>
      </c>
      <c r="D25" s="2" t="n">
        <v>2021</v>
      </c>
      <c r="E25" s="3" t="n">
        <v>599</v>
      </c>
    </row>
    <row r="26" customFormat="false" ht="15" hidden="false" customHeight="false" outlineLevel="0" collapsed="false">
      <c r="A26" s="2" t="s">
        <v>5</v>
      </c>
      <c r="B26" s="2" t="s">
        <v>61</v>
      </c>
      <c r="C26" s="2" t="s">
        <v>62</v>
      </c>
      <c r="D26" s="2" t="n">
        <v>2017</v>
      </c>
      <c r="E26" s="3" t="n">
        <v>599</v>
      </c>
    </row>
    <row r="27" customFormat="false" ht="15" hidden="false" customHeight="false" outlineLevel="0" collapsed="false">
      <c r="A27" s="2" t="s">
        <v>5</v>
      </c>
      <c r="B27" s="2" t="s">
        <v>63</v>
      </c>
      <c r="C27" s="2" t="s">
        <v>30</v>
      </c>
      <c r="D27" s="2" t="n">
        <v>2017</v>
      </c>
      <c r="E27" s="3" t="n">
        <v>575</v>
      </c>
    </row>
    <row r="28" customFormat="false" ht="15" hidden="false" customHeight="false" outlineLevel="0" collapsed="false">
      <c r="A28" s="2" t="s">
        <v>5</v>
      </c>
      <c r="B28" s="2" t="s">
        <v>64</v>
      </c>
      <c r="C28" s="2" t="s">
        <v>65</v>
      </c>
      <c r="D28" s="2" t="n">
        <v>2018</v>
      </c>
      <c r="E28" s="3" t="n">
        <v>558</v>
      </c>
    </row>
    <row r="29" customFormat="false" ht="15" hidden="false" customHeight="false" outlineLevel="0" collapsed="false">
      <c r="A29" s="2" t="s">
        <v>6</v>
      </c>
      <c r="B29" s="2" t="s">
        <v>66</v>
      </c>
      <c r="C29" s="2" t="s">
        <v>67</v>
      </c>
      <c r="D29" s="2" t="n">
        <v>2017</v>
      </c>
      <c r="E29" s="3" t="n">
        <v>618</v>
      </c>
    </row>
    <row r="30" customFormat="false" ht="15" hidden="false" customHeight="false" outlineLevel="0" collapsed="false">
      <c r="A30" s="2" t="s">
        <v>6</v>
      </c>
      <c r="B30" s="2" t="s">
        <v>68</v>
      </c>
      <c r="C30" s="2" t="s">
        <v>69</v>
      </c>
      <c r="D30" s="2" t="n">
        <v>2021</v>
      </c>
      <c r="E30" s="3" t="n">
        <v>323</v>
      </c>
    </row>
    <row r="31" customFormat="false" ht="15" hidden="false" customHeight="false" outlineLevel="0" collapsed="false">
      <c r="A31" s="2" t="s">
        <v>6</v>
      </c>
      <c r="B31" s="2" t="s">
        <v>70</v>
      </c>
      <c r="C31" s="2" t="s">
        <v>71</v>
      </c>
      <c r="D31" s="2" t="n">
        <v>2017</v>
      </c>
      <c r="E31" s="3" t="n">
        <v>69</v>
      </c>
    </row>
    <row r="32" customFormat="false" ht="15" hidden="false" customHeight="false" outlineLevel="0" collapsed="false">
      <c r="A32" s="2" t="s">
        <v>6</v>
      </c>
      <c r="B32" s="2" t="s">
        <v>72</v>
      </c>
      <c r="C32" s="2" t="s">
        <v>69</v>
      </c>
      <c r="D32" s="2" t="n">
        <v>2021</v>
      </c>
      <c r="E32" s="3" t="n">
        <v>48</v>
      </c>
    </row>
    <row r="33" customFormat="false" ht="15" hidden="false" customHeight="false" outlineLevel="0" collapsed="false">
      <c r="A33" s="2" t="s">
        <v>7</v>
      </c>
      <c r="B33" s="2" t="s">
        <v>73</v>
      </c>
      <c r="C33" s="2" t="s">
        <v>74</v>
      </c>
      <c r="D33" s="2" t="n">
        <v>2017</v>
      </c>
      <c r="E33" s="3" t="n">
        <v>30298</v>
      </c>
    </row>
    <row r="34" customFormat="false" ht="15" hidden="false" customHeight="false" outlineLevel="0" collapsed="false">
      <c r="A34" s="2" t="s">
        <v>7</v>
      </c>
      <c r="B34" s="2" t="s">
        <v>75</v>
      </c>
      <c r="C34" s="2" t="s">
        <v>76</v>
      </c>
      <c r="D34" s="2" t="n">
        <v>2017</v>
      </c>
      <c r="E34" s="3" t="n">
        <v>29079</v>
      </c>
    </row>
    <row r="35" customFormat="false" ht="15" hidden="false" customHeight="false" outlineLevel="0" collapsed="false">
      <c r="A35" s="2" t="s">
        <v>7</v>
      </c>
      <c r="B35" s="2" t="s">
        <v>77</v>
      </c>
      <c r="C35" s="2" t="s">
        <v>78</v>
      </c>
      <c r="D35" s="2" t="n">
        <v>2017</v>
      </c>
      <c r="E35" s="3" t="n">
        <v>12322</v>
      </c>
    </row>
    <row r="36" customFormat="false" ht="15" hidden="false" customHeight="false" outlineLevel="0" collapsed="false">
      <c r="A36" s="2" t="s">
        <v>7</v>
      </c>
      <c r="B36" s="2" t="s">
        <v>79</v>
      </c>
      <c r="C36" s="2" t="s">
        <v>80</v>
      </c>
      <c r="D36" s="2" t="n">
        <v>2018</v>
      </c>
      <c r="E36" s="3" t="n">
        <v>3590</v>
      </c>
    </row>
    <row r="37" customFormat="false" ht="15" hidden="false" customHeight="false" outlineLevel="0" collapsed="false">
      <c r="A37" s="2" t="s">
        <v>7</v>
      </c>
      <c r="B37" s="2" t="s">
        <v>81</v>
      </c>
      <c r="C37" s="2" t="s">
        <v>82</v>
      </c>
      <c r="D37" s="2" t="n">
        <v>2020</v>
      </c>
      <c r="E37" s="3" t="n">
        <v>1244</v>
      </c>
    </row>
    <row r="38" customFormat="false" ht="15" hidden="false" customHeight="false" outlineLevel="0" collapsed="false">
      <c r="A38" s="2" t="s">
        <v>7</v>
      </c>
      <c r="B38" s="2" t="s">
        <v>83</v>
      </c>
      <c r="C38" s="2" t="s">
        <v>84</v>
      </c>
      <c r="D38" s="2" t="n">
        <v>2018</v>
      </c>
      <c r="E38" s="3" t="n">
        <v>1222</v>
      </c>
    </row>
    <row r="39" customFormat="false" ht="15" hidden="false" customHeight="false" outlineLevel="0" collapsed="false">
      <c r="A39" s="2" t="s">
        <v>7</v>
      </c>
      <c r="B39" s="2" t="s">
        <v>85</v>
      </c>
      <c r="C39" s="2" t="s">
        <v>86</v>
      </c>
      <c r="D39" s="2" t="n">
        <v>2017</v>
      </c>
      <c r="E39" s="3" t="n">
        <v>1021</v>
      </c>
    </row>
    <row r="40" customFormat="false" ht="15" hidden="false" customHeight="false" outlineLevel="0" collapsed="false">
      <c r="A40" s="2" t="s">
        <v>7</v>
      </c>
      <c r="B40" s="2" t="s">
        <v>87</v>
      </c>
      <c r="C40" s="2" t="s">
        <v>88</v>
      </c>
      <c r="D40" s="2" t="n">
        <v>2019</v>
      </c>
      <c r="E40" s="3" t="n">
        <v>773</v>
      </c>
    </row>
    <row r="41" customFormat="false" ht="15" hidden="false" customHeight="false" outlineLevel="0" collapsed="false">
      <c r="A41" s="2" t="s">
        <v>7</v>
      </c>
      <c r="B41" s="2" t="s">
        <v>89</v>
      </c>
      <c r="C41" s="2" t="s">
        <v>90</v>
      </c>
      <c r="D41" s="2" t="n">
        <v>2018</v>
      </c>
      <c r="E41" s="3" t="n">
        <v>503</v>
      </c>
    </row>
    <row r="42" customFormat="false" ht="15" hidden="false" customHeight="false" outlineLevel="0" collapsed="false">
      <c r="A42" s="2" t="s">
        <v>7</v>
      </c>
      <c r="B42" s="2" t="s">
        <v>91</v>
      </c>
      <c r="C42" s="2" t="s">
        <v>78</v>
      </c>
      <c r="D42" s="2" t="n">
        <v>2019</v>
      </c>
      <c r="E42" s="3" t="n">
        <v>345</v>
      </c>
    </row>
    <row r="43" customFormat="false" ht="15" hidden="false" customHeight="false" outlineLevel="0" collapsed="false">
      <c r="A43" s="2" t="s">
        <v>7</v>
      </c>
      <c r="B43" s="2" t="s">
        <v>92</v>
      </c>
      <c r="C43" s="2" t="s">
        <v>93</v>
      </c>
      <c r="D43" s="2" t="n">
        <v>2021</v>
      </c>
      <c r="E43" s="3" t="n">
        <v>312</v>
      </c>
    </row>
    <row r="44" customFormat="false" ht="15" hidden="false" customHeight="false" outlineLevel="0" collapsed="false">
      <c r="A44" s="2" t="s">
        <v>7</v>
      </c>
      <c r="B44" s="2" t="s">
        <v>94</v>
      </c>
      <c r="C44" s="2" t="s">
        <v>95</v>
      </c>
      <c r="D44" s="2" t="n">
        <v>2018</v>
      </c>
      <c r="E44" s="3" t="n">
        <v>255</v>
      </c>
    </row>
    <row r="45" customFormat="false" ht="15" hidden="false" customHeight="false" outlineLevel="0" collapsed="false">
      <c r="A45" s="2" t="s">
        <v>7</v>
      </c>
      <c r="B45" s="2" t="s">
        <v>96</v>
      </c>
      <c r="C45" s="2" t="s">
        <v>97</v>
      </c>
      <c r="D45" s="2" t="n">
        <v>2019</v>
      </c>
      <c r="E45" s="3" t="n">
        <v>186</v>
      </c>
    </row>
    <row r="46" customFormat="false" ht="15" hidden="false" customHeight="false" outlineLevel="0" collapsed="false">
      <c r="A46" s="2" t="s">
        <v>7</v>
      </c>
      <c r="B46" s="2" t="s">
        <v>98</v>
      </c>
      <c r="C46" s="2" t="s">
        <v>99</v>
      </c>
      <c r="D46" s="2" t="n">
        <v>2017</v>
      </c>
      <c r="E46" s="3" t="n">
        <v>186</v>
      </c>
    </row>
    <row r="47" customFormat="false" ht="15" hidden="false" customHeight="false" outlineLevel="0" collapsed="false">
      <c r="A47" s="2" t="s">
        <v>7</v>
      </c>
      <c r="B47" s="2" t="s">
        <v>100</v>
      </c>
      <c r="C47" s="2" t="s">
        <v>101</v>
      </c>
      <c r="D47" s="2" t="n">
        <v>2021</v>
      </c>
      <c r="E47" s="3" t="n">
        <v>158</v>
      </c>
    </row>
    <row r="48" customFormat="false" ht="15" hidden="false" customHeight="false" outlineLevel="0" collapsed="false">
      <c r="A48" s="2" t="s">
        <v>7</v>
      </c>
      <c r="B48" s="2" t="s">
        <v>102</v>
      </c>
      <c r="C48" s="2" t="s">
        <v>103</v>
      </c>
      <c r="D48" s="2" t="n">
        <v>2020</v>
      </c>
      <c r="E48" s="3" t="n">
        <v>115</v>
      </c>
    </row>
    <row r="49" customFormat="false" ht="15" hidden="false" customHeight="false" outlineLevel="0" collapsed="false">
      <c r="A49" s="2" t="s">
        <v>7</v>
      </c>
      <c r="B49" s="2" t="s">
        <v>104</v>
      </c>
      <c r="C49" s="2" t="s">
        <v>105</v>
      </c>
      <c r="D49" s="2" t="n">
        <v>2019</v>
      </c>
      <c r="E49" s="3" t="n">
        <v>112</v>
      </c>
    </row>
    <row r="50" customFormat="false" ht="15" hidden="false" customHeight="false" outlineLevel="0" collapsed="false">
      <c r="A50" s="2" t="s">
        <v>7</v>
      </c>
      <c r="B50" s="2" t="s">
        <v>106</v>
      </c>
      <c r="C50" s="2" t="s">
        <v>107</v>
      </c>
      <c r="D50" s="2" t="n">
        <v>2019</v>
      </c>
      <c r="E50" s="3" t="n">
        <v>103</v>
      </c>
    </row>
    <row r="52" customFormat="false" ht="15" hidden="false" customHeight="false" outlineLevel="0" collapsed="false">
      <c r="A52" s="6" t="s">
        <v>108</v>
      </c>
    </row>
    <row r="53" customFormat="false" ht="15" hidden="false" customHeight="false" outlineLevel="0" collapsed="false">
      <c r="A53" s="6" t="s">
        <v>109</v>
      </c>
    </row>
  </sheetData>
  <autoFilter ref="A1:E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2026-10-24T22:01:58Z</dcterms:created>
  <dc:creator>openpyxl</dc:creator>
  <dc:description/>
  <dc:language>en-US</dc:language>
  <cp:lastModifiedBy/>
  <dcterms:modified xsi:type="dcterms:W3CDTF">2026-10-24T22:01:58Z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